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STRIDE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'Análisis STRIDE'!$A$4:$L$16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8F9FB"/>
      </patternFill>
    </fill>
    <fill>
      <patternFill patternType="solid">
        <fgColor rgb="00D9E2F3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vertical="top" wrapText="1"/>
    </xf>
    <xf numFmtId="1" fontId="0" fillId="5" borderId="1" applyAlignment="1" pivotButton="0" quotePrefix="0" xfId="0">
      <alignment horizontal="center" vertical="top" wrapText="1"/>
    </xf>
    <xf numFmtId="1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vertical="top" wrapText="1"/>
    </xf>
    <xf numFmtId="1" fontId="0" fillId="6" borderId="1" applyAlignment="1" pivotButton="0" quotePrefix="0" xfId="0">
      <alignment horizontal="center" vertical="top" wrapText="1"/>
    </xf>
    <xf numFmtId="0" fontId="4" fillId="7" borderId="1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7" borderId="0" applyAlignment="1" pivotButton="0" quotePrefix="0" xfId="0">
      <alignment wrapText="1"/>
    </xf>
    <xf numFmtId="0" fontId="4" fillId="8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9D9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Valora el efecto potencial sobre el negocio, la operación o la confidencialidad.</t>
      </text>
    </comment>
    <comment ref="G4" authorId="0" shapeId="0">
      <text>
        <t>Valora la posibilidad de ocurrencia según exposición y facilidad de explotación.</t>
      </text>
    </comment>
    <comment ref="H4" authorId="0" shapeId="0">
      <text>
        <t>Se calcula automáticamente como Impacto × Probabilidad.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4" customWidth="1" min="4" max="4"/>
    <col width="34" customWidth="1" min="5" max="5"/>
    <col width="10" customWidth="1" min="6" max="6"/>
    <col width="12" customWidth="1" min="7" max="7"/>
    <col width="14" customWidth="1" min="8" max="8"/>
    <col width="42" customWidth="1" min="9" max="9"/>
    <col width="28" customWidth="1" min="10" max="10"/>
    <col width="18" customWidth="1" min="11" max="11"/>
    <col width="14" customWidth="1" min="12" max="12"/>
  </cols>
  <sheetData>
    <row r="1" ht="24" customHeight="1">
      <c r="A1" s="1" t="inlineStr">
        <is>
          <t>Taller 5 – STRIDE (Cliente real) | KOOLT</t>
        </is>
      </c>
    </row>
    <row r="2" ht="28" customHeight="1">
      <c r="A2" s="2" t="inlineStr">
        <is>
          <t>Flujo crítico analizado: pedido + pago + preparación + entrega</t>
        </is>
      </c>
    </row>
    <row r="4" ht="28" customHeight="1">
      <c r="A4" s="3" t="inlineStr">
        <is>
          <t>ID</t>
        </is>
      </c>
      <c r="B4" s="3" t="inlineStr">
        <is>
          <t>Componente / Activo</t>
        </is>
      </c>
      <c r="C4" s="3" t="inlineStr">
        <is>
          <t>Tipo STRIDE</t>
        </is>
      </c>
      <c r="D4" s="3" t="inlineStr">
        <is>
          <t>Descripción de la amenaza</t>
        </is>
      </c>
      <c r="E4" s="3" t="inlineStr">
        <is>
          <t>Escenario de ataque</t>
        </is>
      </c>
      <c r="F4" s="3" t="inlineStr">
        <is>
          <t>Impacto</t>
        </is>
      </c>
      <c r="G4" s="3" t="inlineStr">
        <is>
          <t>Probabilidad</t>
        </is>
      </c>
      <c r="H4" s="3" t="inlineStr">
        <is>
          <t>Nivel de riesgo</t>
        </is>
      </c>
      <c r="I4" s="3" t="inlineStr">
        <is>
          <t>Controles de seguridad existentes</t>
        </is>
      </c>
      <c r="J4" s="3" t="inlineStr">
        <is>
          <t>Mitigación recomendada</t>
        </is>
      </c>
      <c r="K4" s="3" t="inlineStr">
        <is>
          <t>Responsable</t>
        </is>
      </c>
      <c r="L4" s="3" t="inlineStr">
        <is>
          <t>Estado</t>
        </is>
      </c>
    </row>
    <row r="5" ht="38" customHeight="1">
      <c r="A5" s="4" t="inlineStr">
        <is>
          <t>K1</t>
        </is>
      </c>
      <c r="B5" s="5" t="inlineStr">
        <is>
          <t>Kiosco/Tablet de Pedido</t>
        </is>
      </c>
      <c r="C5" s="4" t="inlineStr">
        <is>
          <t>Manipulación</t>
        </is>
      </c>
      <c r="D5" s="6" t="inlineStr">
        <is>
          <t>Alteración del pedido antes de enviarlo al backend, afectando precios, extras o cantidades.</t>
        </is>
      </c>
      <c r="E5" s="6" t="inlineStr">
        <is>
          <t>Se modifican parámetros del frontend o requests desde el dispositivo para enviar un pedido inconsistente.</t>
        </is>
      </c>
      <c r="F5" s="7" t="n">
        <v>4</v>
      </c>
      <c r="G5" s="7" t="n">
        <v>3</v>
      </c>
      <c r="H5" s="8">
        <f>F5*G5</f>
        <v/>
      </c>
      <c r="I5" s="6" t="inlineStr">
        <is>
          <t>Validación del lado servidor de precios y reglas, firmado de payloads, límites de parámetros permitidos.</t>
        </is>
      </c>
      <c r="J5" s="6" t="inlineStr">
        <is>
          <t>Revalidar totalmente en backend, bloquear campos sensibles en cliente y registrar discrepancias de precios.</t>
        </is>
      </c>
      <c r="K5" s="4" t="inlineStr">
        <is>
          <t>Andrés Ricaurte</t>
        </is>
      </c>
      <c r="L5" s="4" t="inlineStr">
        <is>
          <t>Pendiente</t>
        </is>
      </c>
    </row>
    <row r="6" ht="38" customHeight="1">
      <c r="A6" s="9" t="inlineStr">
        <is>
          <t>K2</t>
        </is>
      </c>
      <c r="B6" s="10" t="inlineStr">
        <is>
          <t>Terminal POS</t>
        </is>
      </c>
      <c r="C6" s="9" t="inlineStr">
        <is>
          <t>Suplantación</t>
        </is>
      </c>
      <c r="D6" s="11" t="inlineStr">
        <is>
          <t>Uso de un POS no autorizado o de una sesión de caja comprometida para registrar pedidos falsos.</t>
        </is>
      </c>
      <c r="E6" s="11" t="inlineStr">
        <is>
          <t>Dispositivo no enrolado o credenciales de caja compartidas permiten operar como terminal legítima.</t>
        </is>
      </c>
      <c r="F6" s="12" t="n">
        <v>5</v>
      </c>
      <c r="G6" s="12" t="n">
        <v>3</v>
      </c>
      <c r="H6" s="8">
        <f>F6*G6</f>
        <v/>
      </c>
      <c r="I6" s="11" t="inlineStr">
        <is>
          <t>Autenticación del dispositivo, cuentas individuales, mTLS entre POS y backend.</t>
        </is>
      </c>
      <c r="J6" s="11" t="inlineStr">
        <is>
          <t>Enrolamiento formal de terminales, MFA para operaciones administrativas y rotación periódica de credenciales.</t>
        </is>
      </c>
      <c r="K6" s="9" t="inlineStr">
        <is>
          <t>Juan Restrepo</t>
        </is>
      </c>
      <c r="L6" s="9" t="inlineStr">
        <is>
          <t>En análisis</t>
        </is>
      </c>
    </row>
    <row r="7" ht="38" customHeight="1">
      <c r="A7" s="4" t="inlineStr">
        <is>
          <t>K3</t>
        </is>
      </c>
      <c r="B7" s="5" t="inlineStr">
        <is>
          <t>Red Local / Router</t>
        </is>
      </c>
      <c r="C7" s="4" t="inlineStr">
        <is>
          <t>Denegación de servicio</t>
        </is>
      </c>
      <c r="D7" s="6" t="inlineStr">
        <is>
          <t>Interrupción del servicio en tienda por falla del router o congestión de la red interna.</t>
        </is>
      </c>
      <c r="E7" s="6" t="inlineStr">
        <is>
          <t>El router único falla o el Wi‑Fi se satura durante horas pico, afectando POS, KDS e impresión.</t>
        </is>
      </c>
      <c r="F7" s="7" t="n">
        <v>4</v>
      </c>
      <c r="G7" s="7" t="n">
        <v>4</v>
      </c>
      <c r="H7" s="8">
        <f>F7*G7</f>
        <v/>
      </c>
      <c r="I7" s="6" t="inlineStr">
        <is>
          <t>QoS básico, segmentación de red, monitoreo de conectividad, equipos de respaldo limitados.</t>
        </is>
      </c>
      <c r="J7" s="6" t="inlineStr">
        <is>
          <t>Redundancia de enlace, 4G failover, red separada para invitados y monitoreo de ancho de banda.</t>
        </is>
      </c>
      <c r="K7" s="4" t="inlineStr">
        <is>
          <t>Juan Jaime</t>
        </is>
      </c>
      <c r="L7" s="4" t="inlineStr">
        <is>
          <t>Pendiente</t>
        </is>
      </c>
    </row>
    <row r="8" ht="38" customHeight="1">
      <c r="A8" s="9" t="inlineStr">
        <is>
          <t>K4</t>
        </is>
      </c>
      <c r="B8" s="10" t="inlineStr">
        <is>
          <t>Servicio de Inventario</t>
        </is>
      </c>
      <c r="C8" s="9" t="inlineStr">
        <is>
          <t>Divulgación de información</t>
        </is>
      </c>
      <c r="D8" s="11" t="inlineStr">
        <is>
          <t>Exposición de datos operativos como stock, costos o reglas internas de reposición.</t>
        </is>
      </c>
      <c r="E8" s="11" t="inlineStr">
        <is>
          <t>Endpoints o reportes sin control por rol revelan información sensible a usuarios no autorizados.</t>
        </is>
      </c>
      <c r="F8" s="12" t="n">
        <v>3</v>
      </c>
      <c r="G8" s="12" t="n">
        <v>3</v>
      </c>
      <c r="H8" s="8">
        <f>F8*G8</f>
        <v/>
      </c>
      <c r="I8" s="11" t="inlineStr">
        <is>
          <t>RBAC, segmentación por tienda, auditoría de consultas y ocultamiento de campos sensibles.</t>
        </is>
      </c>
      <c r="J8" s="11" t="inlineStr">
        <is>
          <t>Revisar permisos por perfil, limitar exportaciones y separar vistas operativas de vistas administrativas.</t>
        </is>
      </c>
      <c r="K8" s="9" t="inlineStr">
        <is>
          <t>Andrés Ricaurte</t>
        </is>
      </c>
      <c r="L8" s="9" t="inlineStr">
        <is>
          <t>En progreso</t>
        </is>
      </c>
    </row>
    <row r="9" ht="38" customHeight="1">
      <c r="A9" s="4" t="inlineStr">
        <is>
          <t>K5</t>
        </is>
      </c>
      <c r="B9" s="5" t="inlineStr">
        <is>
          <t>Integración Inventario ↔ POS</t>
        </is>
      </c>
      <c r="C9" s="4" t="inlineStr">
        <is>
          <t>Manipulación</t>
        </is>
      </c>
      <c r="D9" s="6" t="inlineStr">
        <is>
          <t>Alteración de respuestas de disponibilidad para forzar pedidos con insumos inexistentes o negar ventas válidas.</t>
        </is>
      </c>
      <c r="E9" s="6" t="inlineStr">
        <is>
          <t>Mensajes sin validación de integridad pueden ser interceptados o alterados en tránsito.</t>
        </is>
      </c>
      <c r="F9" s="7" t="n">
        <v>4</v>
      </c>
      <c r="G9" s="7" t="n">
        <v>2</v>
      </c>
      <c r="H9" s="8">
        <f>F9*G9</f>
        <v/>
      </c>
      <c r="I9" s="6" t="inlineStr">
        <is>
          <t>TLS, control de integridad de mensajes, reintentos controlados y bitácora de sincronización.</t>
        </is>
      </c>
      <c r="J9" s="6" t="inlineStr">
        <is>
          <t>Firmar mensajes, correlacionar respuestas con solicitudes y agregar verificación cruzada en backend.</t>
        </is>
      </c>
      <c r="K9" s="4" t="inlineStr">
        <is>
          <t>Juan Restrepo</t>
        </is>
      </c>
      <c r="L9" s="4" t="inlineStr">
        <is>
          <t>Pendiente</t>
        </is>
      </c>
    </row>
    <row r="10" ht="38" customHeight="1">
      <c r="A10" s="9" t="inlineStr">
        <is>
          <t>K6</t>
        </is>
      </c>
      <c r="B10" s="10" t="inlineStr">
        <is>
          <t>Pasarela de Pago</t>
        </is>
      </c>
      <c r="C10" s="9" t="inlineStr">
        <is>
          <t>Repudio</t>
        </is>
      </c>
      <c r="D10" s="11" t="inlineStr">
        <is>
          <t>Disputa del cobro o pérdida de trazabilidad entre autorización, cobro y comprobante.</t>
        </is>
      </c>
      <c r="E10" s="11" t="inlineStr">
        <is>
          <t>No se conserva correlación entre id de transacción, pedido y recibo emitido.</t>
        </is>
      </c>
      <c r="F10" s="12" t="n">
        <v>4</v>
      </c>
      <c r="G10" s="12" t="n">
        <v>3</v>
      </c>
      <c r="H10" s="8">
        <f>F10*G10</f>
        <v/>
      </c>
      <c r="I10" s="11" t="inlineStr">
        <is>
          <t>Identificador único de transacción, conciliación diaria y registro del resultado del cobro.</t>
        </is>
      </c>
      <c r="J10" s="11" t="inlineStr">
        <is>
          <t>Trazabilidad end-to-end de pago, hash del comprobante y conciliación automática con caja.</t>
        </is>
      </c>
      <c r="K10" s="9" t="inlineStr">
        <is>
          <t>Juan Jaime</t>
        </is>
      </c>
      <c r="L10" s="9" t="inlineStr">
        <is>
          <t>En análisis</t>
        </is>
      </c>
    </row>
    <row r="11" ht="38" customHeight="1">
      <c r="A11" s="4" t="inlineStr">
        <is>
          <t>K7</t>
        </is>
      </c>
      <c r="B11" s="5" t="inlineStr">
        <is>
          <t>Proceso de Pago</t>
        </is>
      </c>
      <c r="C11" s="4" t="inlineStr">
        <is>
          <t>Divulgación de información</t>
        </is>
      </c>
      <c r="D11" s="6" t="inlineStr">
        <is>
          <t>Fuga de datos sensibles de pago o tokens a través de logs, pantallas o configuraciones inseguras.</t>
        </is>
      </c>
      <c r="E11" s="6" t="inlineStr">
        <is>
          <t>Se exponen fragmentos de datos de pago en bitácoras, consolas o pantallas compartidas.</t>
        </is>
      </c>
      <c r="F11" s="7" t="n">
        <v>5</v>
      </c>
      <c r="G11" s="7" t="n">
        <v>2</v>
      </c>
      <c r="H11" s="8">
        <f>F11*G11</f>
        <v/>
      </c>
      <c r="I11" s="6" t="inlineStr">
        <is>
          <t>Tokenización, políticas de enmascaramiento, restricción de logs y acceso controlado a consola.</t>
        </is>
      </c>
      <c r="J11" s="6" t="inlineStr">
        <is>
          <t>No registrar datos sensibles, revisar masking extremo a extremo y endurecer permisos de observabilidad.</t>
        </is>
      </c>
      <c r="K11" s="4" t="inlineStr">
        <is>
          <t>Andrés Ricaurte</t>
        </is>
      </c>
      <c r="L11" s="4" t="inlineStr">
        <is>
          <t>Pendiente</t>
        </is>
      </c>
    </row>
    <row r="12" ht="38" customHeight="1">
      <c r="A12" s="9" t="inlineStr">
        <is>
          <t>K8</t>
        </is>
      </c>
      <c r="B12" s="10" t="inlineStr">
        <is>
          <t>Backend de Pedidos</t>
        </is>
      </c>
      <c r="C12" s="9" t="inlineStr">
        <is>
          <t>Denegación de servicio</t>
        </is>
      </c>
      <c r="D12" s="11" t="inlineStr">
        <is>
          <t>Saturación del backend en horas pico, con pedidos lentos o pérdida de confirmaciones.</t>
        </is>
      </c>
      <c r="E12" s="11" t="inlineStr">
        <is>
          <t>Promociones, picos de demanda o múltiples reintentos de clientes afectan el throughput del servicio.</t>
        </is>
      </c>
      <c r="F12" s="12" t="n">
        <v>4</v>
      </c>
      <c r="G12" s="12" t="n">
        <v>3</v>
      </c>
      <c r="H12" s="8">
        <f>F12*G12</f>
        <v/>
      </c>
      <c r="I12" s="11" t="inlineStr">
        <is>
          <t>Autoescalado, colas internas, límites por cliente y monitoreo de latencia.</t>
        </is>
      </c>
      <c r="J12" s="11" t="inlineStr">
        <is>
          <t>Pruebas de carga, caché de catálogos, cola de preparación desacoplada y umbrales de escalado más agresivos.</t>
        </is>
      </c>
      <c r="K12" s="9" t="inlineStr">
        <is>
          <t>Juan Restrepo</t>
        </is>
      </c>
      <c r="L12" s="9" t="inlineStr">
        <is>
          <t>En progreso</t>
        </is>
      </c>
    </row>
    <row r="13" ht="38" customHeight="1">
      <c r="A13" s="4" t="inlineStr">
        <is>
          <t>K9</t>
        </is>
      </c>
      <c r="B13" s="5" t="inlineStr">
        <is>
          <t>Pantalla de Cocina (KDS)</t>
        </is>
      </c>
      <c r="C13" s="4" t="inlineStr">
        <is>
          <t>Suplantación</t>
        </is>
      </c>
      <c r="D13" s="6" t="inlineStr">
        <is>
          <t>Órdenes falsas o alteradas aparecen en cocina por acceso no autorizado al KDS.</t>
        </is>
      </c>
      <c r="E13" s="6" t="inlineStr">
        <is>
          <t>Una terminal no autorizada se conecta o una sesión abierta permite manipular estados del pedido.</t>
        </is>
      </c>
      <c r="F13" s="7" t="n">
        <v>3</v>
      </c>
      <c r="G13" s="7" t="n">
        <v>3</v>
      </c>
      <c r="H13" s="8">
        <f>F13*G13</f>
        <v/>
      </c>
      <c r="I13" s="6" t="inlineStr">
        <is>
          <t>Autenticación por rol, cuentas individuales y bloqueo automático por inactividad.</t>
        </is>
      </c>
      <c r="J13" s="6" t="inlineStr">
        <is>
          <t>Enrolar dispositivos, exigir reautenticación para cambios críticos y limitar funciones por perfil.</t>
        </is>
      </c>
      <c r="K13" s="4" t="inlineStr">
        <is>
          <t>Juan Jaime</t>
        </is>
      </c>
      <c r="L13" s="4" t="inlineStr">
        <is>
          <t>Pendiente</t>
        </is>
      </c>
    </row>
    <row r="14" ht="38" customHeight="1">
      <c r="A14" s="9" t="inlineStr">
        <is>
          <t>K10</t>
        </is>
      </c>
      <c r="B14" s="10" t="inlineStr">
        <is>
          <t>Base de Datos de Pedidos</t>
        </is>
      </c>
      <c r="C14" s="9" t="inlineStr">
        <is>
          <t>Manipulación</t>
        </is>
      </c>
      <c r="D14" s="11" t="inlineStr">
        <is>
          <t>Modificación no autorizada de pedidos, pagos o estados después del cierre de caja.</t>
        </is>
      </c>
      <c r="E14" s="11" t="inlineStr">
        <is>
          <t>Acceso excesivo a BD o scripts sin control alteran registros históricos.</t>
        </is>
      </c>
      <c r="F14" s="12" t="n">
        <v>5</v>
      </c>
      <c r="G14" s="12" t="n">
        <v>2</v>
      </c>
      <c r="H14" s="8">
        <f>F14*G14</f>
        <v/>
      </c>
      <c r="I14" s="11" t="inlineStr">
        <is>
          <t>Permisos mínimos, auditoría de cambios, respaldos y segregación de funciones.</t>
        </is>
      </c>
      <c r="J14" s="11" t="inlineStr">
        <is>
          <t>Inmutabilidad lógica de pedidos cerrados, revisiones de acceso y alertas por cambios fuera de horario.</t>
        </is>
      </c>
      <c r="K14" s="9" t="inlineStr">
        <is>
          <t>Andrés Ricaurte</t>
        </is>
      </c>
      <c r="L14" s="9" t="inlineStr">
        <is>
          <t>En análisis</t>
        </is>
      </c>
    </row>
    <row r="15" ht="38" customHeight="1">
      <c r="A15" s="4" t="inlineStr">
        <is>
          <t>K11</t>
        </is>
      </c>
      <c r="B15" s="5" t="inlineStr">
        <is>
          <t>Panel de Precios y Promociones</t>
        </is>
      </c>
      <c r="C15" s="4" t="inlineStr">
        <is>
          <t>Elevación de privilegios</t>
        </is>
      </c>
      <c r="D15" s="6" t="inlineStr">
        <is>
          <t>Un empleado obtiene permisos para cambiar precios, descuentos o promociones sin autorización.</t>
        </is>
      </c>
      <c r="E15" s="6" t="inlineStr">
        <is>
          <t>Permisos excesivos, cuentas compartidas o validaciones débiles permiten elevar privilegios.</t>
        </is>
      </c>
      <c r="F15" s="7" t="n">
        <v>5</v>
      </c>
      <c r="G15" s="7" t="n">
        <v>3</v>
      </c>
      <c r="H15" s="8">
        <f>F15*G15</f>
        <v/>
      </c>
      <c r="I15" s="6" t="inlineStr">
        <is>
          <t>RBAC, revisión de permisos, aprobación para cambios de precio y trazabilidad de edición.</t>
        </is>
      </c>
      <c r="J15" s="6" t="inlineStr">
        <is>
          <t>Doble aprobación para cambios comerciales, MFA para administradores y revisión mensual de accesos.</t>
        </is>
      </c>
      <c r="K15" s="4" t="inlineStr">
        <is>
          <t>Juan Restrepo</t>
        </is>
      </c>
      <c r="L15" s="4" t="inlineStr">
        <is>
          <t>Pendiente</t>
        </is>
      </c>
    </row>
    <row r="16" ht="38" customHeight="1">
      <c r="A16" s="9" t="inlineStr">
        <is>
          <t>K12</t>
        </is>
      </c>
      <c r="B16" s="10" t="inlineStr">
        <is>
          <t>Entrega del Producto / Caja</t>
        </is>
      </c>
      <c r="C16" s="9" t="inlineStr">
        <is>
          <t>Repudio</t>
        </is>
      </c>
      <c r="D16" s="11" t="inlineStr">
        <is>
          <t>El cliente reclama que no recibió el producto correcto o que nunca se le entregó.</t>
        </is>
      </c>
      <c r="E16" s="11" t="inlineStr">
        <is>
          <t>No existe evidencia suficiente del estado final del pedido ni del momento de entrega.</t>
        </is>
      </c>
      <c r="F16" s="12" t="n">
        <v>3</v>
      </c>
      <c r="G16" s="12" t="n">
        <v>3</v>
      </c>
      <c r="H16" s="8">
        <f>F16*G16</f>
        <v/>
      </c>
      <c r="I16" s="11" t="inlineStr">
        <is>
          <t>Marcado de estado entregado, impresión de ticket y referencia del pedido en caja.</t>
        </is>
      </c>
      <c r="J16" s="11" t="inlineStr">
        <is>
          <t>Confirmación de entrega en POS, correlación con ticket y procedimiento de reclamos con trazabilidad.</t>
        </is>
      </c>
      <c r="K16" s="9" t="inlineStr">
        <is>
          <t>Juan Jaime</t>
        </is>
      </c>
      <c r="L16" s="9" t="inlineStr">
        <is>
          <t>En progreso</t>
        </is>
      </c>
    </row>
    <row r="18">
      <c r="A18" s="13" t="inlineStr">
        <is>
          <t>Escala sugerida</t>
        </is>
      </c>
    </row>
    <row r="19">
      <c r="A19" s="14" t="inlineStr">
        <is>
          <t>Impacto / Probabilidad: 1 = Muy bajo, 2 = Bajo, 3 = Medio, 4 = Alto, 5 = Muy alto</t>
        </is>
      </c>
    </row>
    <row r="20">
      <c r="A20" s="14" t="inlineStr">
        <is>
          <t>Nivel de riesgo = Impacto × Probabilidad</t>
        </is>
      </c>
    </row>
    <row r="21">
      <c r="A21" s="14" t="inlineStr">
        <is>
          <t>Semáforo orientativo: 1–5 Bajo, 6–12 Medio, 13–25 Alto</t>
        </is>
      </c>
    </row>
  </sheetData>
  <autoFilter ref="A4:L16"/>
  <mergeCells count="6">
    <mergeCell ref="A2:L2"/>
    <mergeCell ref="A18:D18"/>
    <mergeCell ref="A21:H21"/>
    <mergeCell ref="A20:H20"/>
    <mergeCell ref="A1:L1"/>
    <mergeCell ref="A19:H19"/>
  </mergeCells>
  <conditionalFormatting sqref="H5:H16">
    <cfRule type="colorScale" priority="1">
      <colorScale>
        <cfvo type="num" val="1"/>
        <cfvo type="num" val="10"/>
        <cfvo type="num" val="25"/>
        <color rgb="00C6EFCE"/>
        <color rgb="00FFEB84"/>
        <color rgb="00F8696B"/>
      </colorScale>
    </cfRule>
  </conditionalFormatting>
  <conditionalFormatting sqref="A5:L16">
    <cfRule type="expression" priority="2" dxfId="0" stopIfTrue="0">
      <formula>$H5&gt;=15</formula>
    </cfRule>
    <cfRule type="expression" priority="3" dxfId="1" stopIfTrue="0">
      <formula>$L5="Mitigado"</formula>
    </cfRule>
  </conditionalFormatting>
  <dataValidations count="4">
    <dataValidation sqref="C5:C16" showDropDown="0" showInputMessage="0" showErrorMessage="0" allowBlank="0" type="list">
      <formula1>"Suplantación,Manipulación,Repudio,Divulgación de información,Denegación de servicio,Elevación de privilegios"</formula1>
    </dataValidation>
    <dataValidation sqref="F5:G16" showDropDown="0" showInputMessage="0" showErrorMessage="0" allowBlank="0" type="whole" operator="between">
      <formula1>1</formula1>
      <formula2>5</formula2>
    </dataValidation>
    <dataValidation sqref="L5:L16" showDropDown="0" showInputMessage="0" showErrorMessage="0" allowBlank="0" type="list">
      <formula1>"Pendiente,En análisis,En progreso,Mitigado"</formula1>
    </dataValidation>
    <dataValidation sqref="K5:K16" showDropDown="0" showInputMessage="0" showErrorMessage="0" allowBlank="0" type="list">
      <formula1>"Andrés Ricaurte,Juan Restrepo,Juan Jaime"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" customWidth="1" min="3" max="3"/>
    <col width="22" customWidth="1" min="4" max="4"/>
    <col width="34" customWidth="1" min="5" max="5"/>
    <col width="10" customWidth="1" min="6" max="6"/>
  </cols>
  <sheetData>
    <row r="1">
      <c r="A1" s="15" t="inlineStr">
        <is>
          <t>Resumen Ejecutivo</t>
        </is>
      </c>
    </row>
    <row r="2">
      <c r="A2" s="16" t="inlineStr">
        <is>
          <t>Flujo crítico analizado: pedido + pago + preparación + entrega</t>
        </is>
      </c>
    </row>
    <row r="4">
      <c r="A4" s="17" t="inlineStr">
        <is>
          <t>Total de amenazas</t>
        </is>
      </c>
      <c r="B4" s="18">
        <f>COUNTA('Análisis STRIDE'!A5:A16)</f>
        <v/>
      </c>
      <c r="C4" s="18" t="n"/>
      <c r="D4" s="18" t="inlineStr">
        <is>
          <t>Amenaza con mayor riesgo</t>
        </is>
      </c>
      <c r="E4" s="18">
        <f>INDEX('Análisis STRIDE'!D5:D16,MATCH(MAX('Análisis STRIDE'!H5:H16),'Análisis STRIDE'!H5:H16,0))</f>
        <v/>
      </c>
    </row>
    <row r="5">
      <c r="A5" s="17" t="inlineStr">
        <is>
          <t>Riesgo alto (&gt;=13)</t>
        </is>
      </c>
      <c r="B5" s="18">
        <f>COUNTIF('Análisis STRIDE'!H5:H16,"&gt;=13")</f>
        <v/>
      </c>
      <c r="C5" s="18" t="n"/>
      <c r="D5" s="18" t="inlineStr">
        <is>
          <t>Componente crítico</t>
        </is>
      </c>
      <c r="E5" s="18">
        <f>INDEX('Análisis STRIDE'!B5:B16,MATCH(MAX('Análisis STRIDE'!H5:H16),'Análisis STRIDE'!H5:H16,0))</f>
        <v/>
      </c>
    </row>
    <row r="6">
      <c r="A6" s="17" t="inlineStr">
        <is>
          <t>Riesgo medio (6-12)</t>
        </is>
      </c>
      <c r="B6" s="18">
        <f>COUNTIFS('Análisis STRIDE'!H5:H16,"&gt;=6",'Análisis STRIDE'!H5:H16,"&lt;=12")</f>
        <v/>
      </c>
      <c r="C6" s="18" t="n"/>
      <c r="D6" s="18" t="inlineStr">
        <is>
          <t>Promedio de riesgo</t>
        </is>
      </c>
      <c r="E6" s="18">
        <f>ROUND(AVERAGE('Análisis STRIDE'!H5:H16),1)</f>
        <v/>
      </c>
    </row>
    <row r="7">
      <c r="A7" s="17" t="inlineStr">
        <is>
          <t>Riesgo bajo (1-5)</t>
        </is>
      </c>
      <c r="B7" s="18">
        <f>COUNTIFS('Análisis STRIDE'!H5:H16,"&gt;=1",'Análisis STRIDE'!H5:H16,"&lt;=5")</f>
        <v/>
      </c>
      <c r="C7" s="18" t="n"/>
      <c r="D7" s="18" t="inlineStr">
        <is>
          <t>Estado más frecuente</t>
        </is>
      </c>
      <c r="E7" s="18" t="n"/>
    </row>
    <row r="8">
      <c r="A8" s="19" t="n"/>
      <c r="B8" s="19" t="n"/>
      <c r="C8" s="19" t="n"/>
      <c r="D8" s="19" t="n"/>
      <c r="E8" s="19" t="n"/>
    </row>
    <row r="9">
      <c r="A9" s="17" t="inlineStr">
        <is>
          <t>Responsable</t>
        </is>
      </c>
      <c r="B9" s="18" t="inlineStr">
        <is>
          <t>Cantidad</t>
        </is>
      </c>
      <c r="C9" s="18" t="n"/>
      <c r="D9" s="18" t="inlineStr">
        <is>
          <t>Estado</t>
        </is>
      </c>
      <c r="E9" s="18" t="inlineStr">
        <is>
          <t>Cantidad</t>
        </is>
      </c>
    </row>
    <row r="10">
      <c r="A10" s="20" t="inlineStr">
        <is>
          <t>Andrés Ricaurte</t>
        </is>
      </c>
      <c r="B10" s="19">
        <f>COUNTIF('Análisis STRIDE'!K5:K16,A10)</f>
        <v/>
      </c>
      <c r="C10" s="19" t="n"/>
      <c r="D10" s="19" t="inlineStr">
        <is>
          <t>Pendiente</t>
        </is>
      </c>
      <c r="E10" s="19">
        <f>COUNTIF('Análisis STRIDE'!L5:L16,D10)</f>
        <v/>
      </c>
    </row>
    <row r="11">
      <c r="A11" s="20" t="inlineStr">
        <is>
          <t>Juan Restrepo</t>
        </is>
      </c>
      <c r="B11" s="19">
        <f>COUNTIF('Análisis STRIDE'!K5:K16,A11)</f>
        <v/>
      </c>
      <c r="C11" s="19" t="n"/>
      <c r="D11" s="19" t="inlineStr">
        <is>
          <t>En análisis</t>
        </is>
      </c>
      <c r="E11" s="19">
        <f>COUNTIF('Análisis STRIDE'!L5:L16,D11)</f>
        <v/>
      </c>
    </row>
    <row r="12">
      <c r="A12" s="20" t="inlineStr">
        <is>
          <t>Juan Jaime</t>
        </is>
      </c>
      <c r="B12" s="19">
        <f>COUNTIF('Análisis STRIDE'!K5:K16,A12)</f>
        <v/>
      </c>
      <c r="C12" s="19" t="n"/>
      <c r="D12" s="19" t="inlineStr">
        <is>
          <t>En progreso</t>
        </is>
      </c>
      <c r="E12" s="19">
        <f>COUNTIF('Análisis STRIDE'!L5:L16,D12)</f>
        <v/>
      </c>
    </row>
    <row r="13">
      <c r="A13" s="19" t="n"/>
      <c r="B13" s="19" t="n"/>
      <c r="C13" s="19" t="n"/>
      <c r="D13" s="19" t="inlineStr">
        <is>
          <t>Mitigado</t>
        </is>
      </c>
      <c r="E13" s="19">
        <f>COUNTIF('Análisis STRIDE'!L5:L16,D13)</f>
        <v/>
      </c>
    </row>
    <row r="15">
      <c r="A15" s="21" t="inlineStr">
        <is>
          <t>Integrantes encargados</t>
        </is>
      </c>
    </row>
    <row r="16">
      <c r="A16" t="inlineStr">
        <is>
          <t>- Andrés Ricaurte</t>
        </is>
      </c>
    </row>
    <row r="17">
      <c r="A17" t="inlineStr">
        <is>
          <t>- Juan Restrepo</t>
        </is>
      </c>
    </row>
    <row r="18">
      <c r="A18" t="inlineStr">
        <is>
          <t>- Juan Jaime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2026-03-14T13:31:51Z</dcterms:created>
  <dcterms:modified xmlns:dcterms="http://purl.org/dc/terms/" xmlns:xsi="http://www.w3.org/2001/XMLSchema-instance" xsi:type="dcterms:W3CDTF">2026-03-14T13:31:51Z</dcterms:modified>
</cp:coreProperties>
</file>